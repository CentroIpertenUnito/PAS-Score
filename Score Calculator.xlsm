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jacopoburrello/Documents/Medicina/03. DOTTORATO/Progetti di RICERCA/03 - Articoli/51 - Score PA Screening Test/Manuscript/02 - Online tools/"/>
    </mc:Choice>
  </mc:AlternateContent>
  <xr:revisionPtr revIDLastSave="0" documentId="13_ncr:1_{63CE0050-6C01-3F44-BC39-69BC27B84E1B}" xr6:coauthVersionLast="46" xr6:coauthVersionMax="46" xr10:uidLastSave="{00000000-0000-0000-0000-000000000000}"/>
  <bookViews>
    <workbookView xWindow="0" yWindow="460" windowWidth="20740" windowHeight="14060" xr2:uid="{588C59C6-26AB-2947-BCD3-823B9F90CE88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5" i="1" l="1"/>
  <c r="H21" i="1"/>
  <c r="H17" i="1"/>
  <c r="H13" i="1"/>
  <c r="H9" i="1"/>
  <c r="H6" i="1"/>
  <c r="K26" i="1" l="1"/>
  <c r="K6" i="1" l="1"/>
  <c r="K24" i="1"/>
  <c r="K25" i="1"/>
</calcChain>
</file>

<file path=xl/sharedStrings.xml><?xml version="1.0" encoding="utf-8"?>
<sst xmlns="http://schemas.openxmlformats.org/spreadsheetml/2006/main" count="121" uniqueCount="110">
  <si>
    <t>Points</t>
  </si>
  <si>
    <t>Variable</t>
  </si>
  <si>
    <t>Category</t>
  </si>
  <si>
    <t>Patient Data</t>
  </si>
  <si>
    <t>Score</t>
  </si>
  <si>
    <t>Indication</t>
  </si>
  <si>
    <t>Cut-offs</t>
  </si>
  <si>
    <t>(mEq/L)</t>
  </si>
  <si>
    <t>(A)</t>
  </si>
  <si>
    <t>Insert patient data in highlighted column for each category; attention: units must be</t>
  </si>
  <si>
    <t>(B)</t>
  </si>
  <si>
    <t>is the proportion of patients for each diagnosis with the resulting score);</t>
  </si>
  <si>
    <t>Click "Reset" before entering data for the next patient;</t>
  </si>
  <si>
    <t>Sex</t>
  </si>
  <si>
    <t>Female (F)</t>
  </si>
  <si>
    <t>Male (M)</t>
  </si>
  <si>
    <t>Antihypertensive medication</t>
  </si>
  <si>
    <t>(expressed as DDD)</t>
  </si>
  <si>
    <t>Lowest potassium</t>
  </si>
  <si>
    <t>Organ damage</t>
  </si>
  <si>
    <t>Yes (Y)</t>
  </si>
  <si>
    <t>No (N)</t>
  </si>
  <si>
    <r>
      <t xml:space="preserve">organ damage must be entered as </t>
    </r>
    <r>
      <rPr>
        <b/>
        <sz val="12"/>
        <color theme="1"/>
        <rFont val="Calibri"/>
        <family val="2"/>
        <scheme val="minor"/>
      </rPr>
      <t>Y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</t>
    </r>
    <r>
      <rPr>
        <sz val="12"/>
        <color theme="1"/>
        <rFont val="Calibri"/>
        <family val="2"/>
        <scheme val="minor"/>
      </rPr>
      <t>);</t>
    </r>
  </si>
  <si>
    <r>
      <t xml:space="preserve">in accordance with those specified; sex must be entered as 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Female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M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Male</t>
    </r>
    <r>
      <rPr>
        <sz val="12"/>
        <color theme="1"/>
        <rFont val="Calibri"/>
        <family val="2"/>
        <scheme val="minor"/>
      </rPr>
      <t>);</t>
    </r>
  </si>
  <si>
    <t>Score Points</t>
  </si>
  <si>
    <t>Systolic Blood Pressure</t>
  </si>
  <si>
    <t>(mmHg)</t>
  </si>
  <si>
    <t>&lt; 135</t>
  </si>
  <si>
    <t>135-164</t>
  </si>
  <si>
    <t>≥ 165</t>
  </si>
  <si>
    <t>3.5</t>
  </si>
  <si>
    <t>4.5</t>
  </si>
  <si>
    <t>&lt; 0.90</t>
  </si>
  <si>
    <t>0.90-3.59</t>
  </si>
  <si>
    <t>≥ 3.60</t>
  </si>
  <si>
    <t>5.5</t>
  </si>
  <si>
    <t>BMI</t>
  </si>
  <si>
    <t>(kg/sqm)</t>
  </si>
  <si>
    <t>&lt; 21.0</t>
  </si>
  <si>
    <t>21.0-24.9</t>
  </si>
  <si>
    <t>≥ 25.0</t>
  </si>
  <si>
    <t>2.5</t>
  </si>
  <si>
    <t>&lt; 3.0</t>
  </si>
  <si>
    <t>3.0-4.0</t>
  </si>
  <si>
    <t>≥ 4.1</t>
  </si>
  <si>
    <t>≥ 5 - PA Likely</t>
  </si>
  <si>
    <t>&lt; 5 - PA Unlikely</t>
  </si>
  <si>
    <t>Screen (+)</t>
  </si>
  <si>
    <t>PA</t>
  </si>
  <si>
    <t>Unilateral PA</t>
  </si>
  <si>
    <t>Confirmed PA</t>
  </si>
  <si>
    <t xml:space="preserve">Click "Calculate" to obtain score, indication and the probability of PA (this </t>
  </si>
  <si>
    <t>6.0</t>
  </si>
  <si>
    <t>6.9</t>
  </si>
  <si>
    <t>8.1</t>
  </si>
  <si>
    <t>9.4</t>
  </si>
  <si>
    <t>11.0</t>
  </si>
  <si>
    <t>12.8</t>
  </si>
  <si>
    <t>14.8</t>
  </si>
  <si>
    <t>17.3</t>
  </si>
  <si>
    <t>20.1</t>
  </si>
  <si>
    <t>23.4</t>
  </si>
  <si>
    <t>27.3</t>
  </si>
  <si>
    <t>31.7</t>
  </si>
  <si>
    <t>36.9</t>
  </si>
  <si>
    <t>43.0</t>
  </si>
  <si>
    <t>50.1</t>
  </si>
  <si>
    <t>58.3</t>
  </si>
  <si>
    <t>67.8</t>
  </si>
  <si>
    <t>73.2</t>
  </si>
  <si>
    <t>79.0</t>
  </si>
  <si>
    <t>Probability (%)</t>
  </si>
  <si>
    <t>1.5</t>
  </si>
  <si>
    <t>2.8</t>
  </si>
  <si>
    <t>3.3</t>
  </si>
  <si>
    <t>4.1</t>
  </si>
  <si>
    <t>4.9</t>
  </si>
  <si>
    <t>7.2</t>
  </si>
  <si>
    <t>8.8</t>
  </si>
  <si>
    <t>10.7</t>
  </si>
  <si>
    <t>12.9</t>
  </si>
  <si>
    <t>15.7</t>
  </si>
  <si>
    <t>18.0</t>
  </si>
  <si>
    <t>23.1</t>
  </si>
  <si>
    <t>27.0</t>
  </si>
  <si>
    <t>34.0</t>
  </si>
  <si>
    <t>41.3</t>
  </si>
  <si>
    <t>60.8</t>
  </si>
  <si>
    <t>64.9</t>
  </si>
  <si>
    <t>68.7</t>
  </si>
  <si>
    <t>0.1</t>
  </si>
  <si>
    <t>0.3</t>
  </si>
  <si>
    <t>0.4</t>
  </si>
  <si>
    <t>0.5</t>
  </si>
  <si>
    <t>0.7</t>
  </si>
  <si>
    <t>0.9</t>
  </si>
  <si>
    <t>1.2</t>
  </si>
  <si>
    <t>1.6</t>
  </si>
  <si>
    <t>2.2</t>
  </si>
  <si>
    <t>3.2</t>
  </si>
  <si>
    <t>6.2</t>
  </si>
  <si>
    <t>8.6</t>
  </si>
  <si>
    <t>11.1</t>
  </si>
  <si>
    <t>14.6</t>
  </si>
  <si>
    <t>23.7</t>
  </si>
  <si>
    <t>31.8</t>
  </si>
  <si>
    <t>42.8</t>
  </si>
  <si>
    <t>49.6</t>
  </si>
  <si>
    <t>57.5</t>
  </si>
  <si>
    <t>Score To Predict Primary Aldosteronism: SToP-PA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</si>
</sst>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1"/>
      <name val="Arial"/>
      <family val="2"/>
    </font>
    <font>
      <sz val="12"/>
      <color theme="0" tint="-0.1499679555650502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rgb="FFFF0000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2" borderId="24" xfId="0" applyFill="1" applyBorder="1" applyAlignment="1" applyProtection="1">
      <alignment vertical="center"/>
      <protection locked="0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4" borderId="20" xfId="0" applyFill="1" applyBorder="1" applyAlignment="1">
      <alignment vertical="center"/>
    </xf>
    <xf numFmtId="0" fontId="2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2" borderId="33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6" borderId="44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7" fillId="4" borderId="11" xfId="0" applyFont="1" applyFill="1" applyBorder="1" applyAlignment="1"/>
    <xf numFmtId="0" fontId="0" fillId="2" borderId="0" xfId="0" applyFill="1" applyBorder="1" applyAlignment="1">
      <alignment vertical="center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2" fontId="7" fillId="2" borderId="0" xfId="0" applyNumberFormat="1" applyFont="1" applyFill="1" applyBorder="1" applyAlignment="1" applyProtection="1">
      <alignment vertic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0" fillId="2" borderId="46" xfId="0" applyFill="1" applyBorder="1" applyAlignment="1" applyProtection="1">
      <alignment vertical="center"/>
      <protection locked="0"/>
    </xf>
    <xf numFmtId="0" fontId="2" fillId="6" borderId="21" xfId="0" quotePrefix="1" applyFont="1" applyFill="1" applyBorder="1" applyAlignment="1">
      <alignment horizontal="center" vertical="center"/>
    </xf>
    <xf numFmtId="0" fontId="0" fillId="4" borderId="15" xfId="0" applyFont="1" applyFill="1" applyBorder="1" applyAlignment="1">
      <alignment vertical="top"/>
    </xf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horizontal="center" vertical="center"/>
    </xf>
    <xf numFmtId="0" fontId="8" fillId="2" borderId="34" xfId="0" applyFont="1" applyFill="1" applyBorder="1" applyAlignment="1">
      <alignment vertical="center"/>
    </xf>
    <xf numFmtId="0" fontId="0" fillId="4" borderId="15" xfId="0" applyFill="1" applyBorder="1" applyAlignment="1">
      <alignment horizontal="left" vertical="top"/>
    </xf>
    <xf numFmtId="0" fontId="0" fillId="4" borderId="33" xfId="0" applyFill="1" applyBorder="1" applyAlignment="1">
      <alignment horizontal="left" vertical="top"/>
    </xf>
    <xf numFmtId="0" fontId="2" fillId="6" borderId="16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164" fontId="8" fillId="2" borderId="0" xfId="0" applyNumberFormat="1" applyFont="1" applyFill="1" applyBorder="1" applyAlignment="1">
      <alignment horizontal="center" vertical="center"/>
    </xf>
    <xf numFmtId="164" fontId="8" fillId="2" borderId="10" xfId="0" applyNumberFormat="1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164" fontId="10" fillId="6" borderId="32" xfId="0" applyNumberFormat="1" applyFont="1" applyFill="1" applyBorder="1" applyAlignment="1">
      <alignment horizontal="center" vertical="center"/>
    </xf>
    <xf numFmtId="164" fontId="10" fillId="6" borderId="22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Border="1" applyAlignment="1">
      <alignment horizontal="center" vertical="center"/>
    </xf>
    <xf numFmtId="164" fontId="11" fillId="2" borderId="0" xfId="0" applyNumberFormat="1" applyFont="1" applyFill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0" fillId="5" borderId="40" xfId="0" applyFill="1" applyBorder="1" applyAlignment="1" applyProtection="1">
      <alignment horizontal="center" vertical="center"/>
      <protection locked="0"/>
    </xf>
    <xf numFmtId="0" fontId="0" fillId="5" borderId="42" xfId="0" applyFill="1" applyBorder="1" applyAlignment="1" applyProtection="1">
      <alignment horizontal="center" vertical="center"/>
      <protection locked="0"/>
    </xf>
    <xf numFmtId="0" fontId="5" fillId="5" borderId="36" xfId="0" applyFont="1" applyFill="1" applyBorder="1" applyAlignment="1">
      <alignment horizontal="center" vertical="center"/>
    </xf>
    <xf numFmtId="0" fontId="5" fillId="5" borderId="39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8" xfId="0" applyNumberFormat="1" applyFill="1" applyBorder="1" applyAlignment="1" applyProtection="1">
      <alignment horizontal="center" vertical="center"/>
      <protection locked="0"/>
    </xf>
    <xf numFmtId="2" fontId="0" fillId="5" borderId="28" xfId="0" applyNumberFormat="1" applyFill="1" applyBorder="1" applyAlignment="1" applyProtection="1">
      <alignment horizontal="center" vertical="center"/>
      <protection locked="0"/>
    </xf>
    <xf numFmtId="0" fontId="5" fillId="5" borderId="25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center"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5" fillId="5" borderId="4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</cellXfs>
  <cellStyles count="1"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19</xdr:row>
          <xdr:rowOff>76200</xdr:rowOff>
        </xdr:to>
        <xdr:sp macro="" textlink="">
          <xdr:nvSpPr>
            <xdr:cNvPr id="1027" name="Pulsante 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12</xdr:row>
          <xdr:rowOff>177800</xdr:rowOff>
        </xdr:from>
        <xdr:to>
          <xdr:col>10</xdr:col>
          <xdr:colOff>927100</xdr:colOff>
          <xdr:row>15</xdr:row>
          <xdr:rowOff>127000</xdr:rowOff>
        </xdr:to>
        <xdr:sp macro="" textlink="">
          <xdr:nvSpPr>
            <xdr:cNvPr id="1028" name="Pulsante 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101598</xdr:colOff>
      <xdr:row>4</xdr:row>
      <xdr:rowOff>152399</xdr:rowOff>
    </xdr:from>
    <xdr:to>
      <xdr:col>19</xdr:col>
      <xdr:colOff>730181</xdr:colOff>
      <xdr:row>15</xdr:row>
      <xdr:rowOff>135466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BC63EB3C-6202-964C-9160-7D665C820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73731" y="1015999"/>
          <a:ext cx="4794183" cy="29633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79E6-72B0-2F44-8FAD-8DECBCABCAD3}">
  <sheetPr codeName="Foglio1"/>
  <dimension ref="B1:AE40"/>
  <sheetViews>
    <sheetView tabSelected="1" zoomScale="75" zoomScaleNormal="70" workbookViewId="0">
      <selection activeCell="K24" sqref="K24"/>
    </sheetView>
  </sheetViews>
  <sheetFormatPr baseColWidth="10" defaultColWidth="10.83203125" defaultRowHeight="16" x14ac:dyDescent="0.2"/>
  <cols>
    <col min="1" max="1" width="4.33203125" style="1" customWidth="1"/>
    <col min="2" max="2" width="3.33203125" style="1" customWidth="1"/>
    <col min="3" max="3" width="26" style="1" customWidth="1"/>
    <col min="4" max="4" width="15.6640625" style="1" customWidth="1"/>
    <col min="5" max="5" width="9.6640625" style="1" customWidth="1"/>
    <col min="6" max="6" width="2.6640625" style="1" customWidth="1"/>
    <col min="7" max="7" width="12.1640625" style="1" customWidth="1"/>
    <col min="8" max="8" width="8.5" style="1" customWidth="1"/>
    <col min="9" max="9" width="3.1640625" style="1" customWidth="1"/>
    <col min="10" max="10" width="14.33203125" style="1" customWidth="1"/>
    <col min="11" max="11" width="20.1640625" style="1" customWidth="1"/>
    <col min="12" max="12" width="4" style="1" customWidth="1"/>
    <col min="13" max="13" width="2.1640625" style="1" customWidth="1"/>
    <col min="14" max="14" width="2.83203125" style="1" customWidth="1"/>
    <col min="15" max="16" width="10.83203125" style="1"/>
    <col min="17" max="17" width="11.1640625" style="1" customWidth="1"/>
    <col min="18" max="20" width="10.83203125" style="1"/>
    <col min="21" max="22" width="10.83203125" style="46"/>
    <col min="23" max="23" width="14.33203125" style="46" customWidth="1"/>
    <col min="24" max="25" width="14.33203125" style="47" customWidth="1"/>
    <col min="26" max="26" width="15.33203125" style="46" bestFit="1" customWidth="1"/>
    <col min="27" max="30" width="10.83203125" style="46"/>
    <col min="31" max="16384" width="10.83203125" style="1"/>
  </cols>
  <sheetData>
    <row r="1" spans="2:31" x14ac:dyDescent="0.2">
      <c r="E1" s="18"/>
    </row>
    <row r="2" spans="2:31" ht="21" x14ac:dyDescent="0.2">
      <c r="B2" s="35" t="s">
        <v>109</v>
      </c>
      <c r="E2" s="18"/>
    </row>
    <row r="3" spans="2:31" ht="13" customHeight="1" thickBot="1" x14ac:dyDescent="0.25">
      <c r="E3" s="18"/>
      <c r="W3" s="66" t="s">
        <v>24</v>
      </c>
      <c r="X3" s="66" t="s">
        <v>47</v>
      </c>
      <c r="Y3" s="66" t="s">
        <v>48</v>
      </c>
      <c r="Z3" s="67" t="s">
        <v>49</v>
      </c>
    </row>
    <row r="4" spans="2:31" ht="17" thickBot="1" x14ac:dyDescent="0.25">
      <c r="B4" s="2"/>
      <c r="C4" s="3"/>
      <c r="D4" s="3"/>
      <c r="E4" s="4"/>
      <c r="F4" s="3"/>
      <c r="G4" s="3"/>
      <c r="H4" s="5"/>
      <c r="I4" s="3"/>
      <c r="J4" s="5"/>
      <c r="K4" s="3"/>
      <c r="L4" s="6"/>
      <c r="W4" s="68">
        <v>0</v>
      </c>
      <c r="X4" s="69" t="s">
        <v>31</v>
      </c>
      <c r="Y4" s="69" t="s">
        <v>72</v>
      </c>
      <c r="Z4" s="69" t="s">
        <v>90</v>
      </c>
      <c r="AA4" s="47"/>
      <c r="AB4" s="56"/>
      <c r="AC4" s="60"/>
      <c r="AD4" s="60"/>
      <c r="AE4" s="60"/>
    </row>
    <row r="5" spans="2:31" ht="21" customHeight="1" thickBot="1" x14ac:dyDescent="0.25">
      <c r="B5" s="7"/>
      <c r="C5" s="8" t="s">
        <v>1</v>
      </c>
      <c r="D5" s="9" t="s">
        <v>2</v>
      </c>
      <c r="E5" s="10" t="s">
        <v>0</v>
      </c>
      <c r="F5" s="37"/>
      <c r="G5" s="11" t="s">
        <v>3</v>
      </c>
      <c r="H5" s="12" t="s">
        <v>0</v>
      </c>
      <c r="I5" s="37"/>
      <c r="J5" s="13" t="s">
        <v>4</v>
      </c>
      <c r="K5" s="13" t="s">
        <v>5</v>
      </c>
      <c r="L5" s="14"/>
      <c r="O5" s="2"/>
      <c r="P5" s="3"/>
      <c r="Q5" s="3"/>
      <c r="R5" s="3"/>
      <c r="S5" s="3"/>
      <c r="T5" s="6"/>
      <c r="W5" s="68">
        <v>1</v>
      </c>
      <c r="X5" s="69" t="s">
        <v>35</v>
      </c>
      <c r="Y5" s="69" t="s">
        <v>41</v>
      </c>
      <c r="Z5" s="69" t="s">
        <v>91</v>
      </c>
      <c r="AB5" s="56"/>
      <c r="AC5" s="60"/>
      <c r="AD5" s="60"/>
      <c r="AE5" s="60"/>
    </row>
    <row r="6" spans="2:31" ht="21" customHeight="1" thickBot="1" x14ac:dyDescent="0.25">
      <c r="B6" s="7"/>
      <c r="C6" s="36" t="s">
        <v>13</v>
      </c>
      <c r="D6" s="15" t="s">
        <v>14</v>
      </c>
      <c r="E6" s="16">
        <v>0</v>
      </c>
      <c r="F6" s="37"/>
      <c r="G6" s="85"/>
      <c r="H6" s="88" t="str">
        <f>IF(G6="F",0,IF(G6="M",1,"Invalid"))</f>
        <v>Invalid</v>
      </c>
      <c r="I6" s="37"/>
      <c r="J6" s="61">
        <v>-1</v>
      </c>
      <c r="K6" s="62" t="str">
        <f>IF(J6&lt;5,"PA Unlikely","PA Likely")</f>
        <v>PA Unlikely</v>
      </c>
      <c r="L6" s="14"/>
      <c r="O6" s="7"/>
      <c r="T6" s="14"/>
      <c r="W6" s="68">
        <v>2</v>
      </c>
      <c r="X6" s="69" t="s">
        <v>52</v>
      </c>
      <c r="Y6" s="69" t="s">
        <v>73</v>
      </c>
      <c r="Z6" s="69" t="s">
        <v>92</v>
      </c>
      <c r="AB6" s="56"/>
      <c r="AC6" s="60"/>
      <c r="AD6" s="60"/>
      <c r="AE6" s="60"/>
    </row>
    <row r="7" spans="2:31" ht="21" customHeight="1" thickBot="1" x14ac:dyDescent="0.25">
      <c r="B7" s="7"/>
      <c r="C7" s="25"/>
      <c r="D7" s="33" t="s">
        <v>15</v>
      </c>
      <c r="E7" s="34">
        <v>1</v>
      </c>
      <c r="F7" s="37"/>
      <c r="G7" s="86"/>
      <c r="H7" s="77"/>
      <c r="I7" s="37"/>
      <c r="J7" s="38"/>
      <c r="K7" s="39"/>
      <c r="L7" s="14"/>
      <c r="O7" s="7"/>
      <c r="T7" s="14"/>
      <c r="W7" s="68">
        <v>3</v>
      </c>
      <c r="X7" s="69" t="s">
        <v>53</v>
      </c>
      <c r="Y7" s="69" t="s">
        <v>74</v>
      </c>
      <c r="Z7" s="69" t="s">
        <v>93</v>
      </c>
      <c r="AB7" s="56"/>
      <c r="AC7" s="60"/>
      <c r="AD7" s="60"/>
      <c r="AE7" s="60"/>
    </row>
    <row r="8" spans="2:31" ht="21" customHeight="1" thickBot="1" x14ac:dyDescent="0.25">
      <c r="B8" s="7"/>
      <c r="C8" s="37"/>
      <c r="D8" s="40"/>
      <c r="E8" s="39"/>
      <c r="F8" s="37"/>
      <c r="G8" s="21"/>
      <c r="H8" s="63"/>
      <c r="I8" s="37"/>
      <c r="J8" s="89" t="s">
        <v>6</v>
      </c>
      <c r="K8" s="90"/>
      <c r="L8" s="14"/>
      <c r="O8" s="7"/>
      <c r="T8" s="14"/>
      <c r="W8" s="68">
        <v>4</v>
      </c>
      <c r="X8" s="69" t="s">
        <v>54</v>
      </c>
      <c r="Y8" s="69" t="s">
        <v>75</v>
      </c>
      <c r="Z8" s="69" t="s">
        <v>94</v>
      </c>
      <c r="AB8" s="56"/>
      <c r="AC8" s="60"/>
      <c r="AD8" s="60"/>
      <c r="AE8" s="60"/>
    </row>
    <row r="9" spans="2:31" ht="21" customHeight="1" x14ac:dyDescent="0.2">
      <c r="B9" s="7"/>
      <c r="C9" s="36" t="s">
        <v>25</v>
      </c>
      <c r="D9" s="15" t="s">
        <v>27</v>
      </c>
      <c r="E9" s="16">
        <v>0</v>
      </c>
      <c r="F9" s="37"/>
      <c r="G9" s="85"/>
      <c r="H9" s="76">
        <f>IF(G9&lt;135,0,IF(AND(G9&gt;=135,G9&lt;165),3.5,4.5))</f>
        <v>0</v>
      </c>
      <c r="I9" s="37"/>
      <c r="J9" s="91" t="s">
        <v>46</v>
      </c>
      <c r="K9" s="92"/>
      <c r="L9" s="14"/>
      <c r="O9" s="7"/>
      <c r="T9" s="14"/>
      <c r="W9" s="68">
        <v>5</v>
      </c>
      <c r="X9" s="69" t="s">
        <v>55</v>
      </c>
      <c r="Y9" s="69" t="s">
        <v>76</v>
      </c>
      <c r="Z9" s="69" t="s">
        <v>95</v>
      </c>
      <c r="AB9" s="56"/>
      <c r="AC9" s="60"/>
      <c r="AD9" s="60"/>
      <c r="AE9" s="60"/>
    </row>
    <row r="10" spans="2:31" ht="21" customHeight="1" thickBot="1" x14ac:dyDescent="0.25">
      <c r="B10" s="7"/>
      <c r="C10" s="49" t="s">
        <v>26</v>
      </c>
      <c r="D10" s="51" t="s">
        <v>28</v>
      </c>
      <c r="E10" s="17" t="s">
        <v>30</v>
      </c>
      <c r="F10" s="37"/>
      <c r="G10" s="86"/>
      <c r="H10" s="84"/>
      <c r="I10" s="37"/>
      <c r="J10" s="93" t="s">
        <v>45</v>
      </c>
      <c r="K10" s="94"/>
      <c r="L10" s="14"/>
      <c r="O10" s="7"/>
      <c r="T10" s="14"/>
      <c r="W10" s="68">
        <v>6</v>
      </c>
      <c r="X10" s="69" t="s">
        <v>56</v>
      </c>
      <c r="Y10" s="69" t="s">
        <v>52</v>
      </c>
      <c r="Z10" s="69" t="s">
        <v>96</v>
      </c>
      <c r="AB10" s="56"/>
      <c r="AC10" s="60"/>
      <c r="AD10" s="60"/>
      <c r="AE10" s="60"/>
    </row>
    <row r="11" spans="2:31" ht="21" customHeight="1" thickBot="1" x14ac:dyDescent="0.25">
      <c r="B11" s="7"/>
      <c r="C11" s="50"/>
      <c r="D11" s="19" t="s">
        <v>29</v>
      </c>
      <c r="E11" s="53" t="s">
        <v>31</v>
      </c>
      <c r="F11" s="37"/>
      <c r="G11" s="86"/>
      <c r="H11" s="77"/>
      <c r="I11" s="37"/>
      <c r="J11" s="37"/>
      <c r="K11" s="37"/>
      <c r="L11" s="14"/>
      <c r="O11" s="7"/>
      <c r="T11" s="14"/>
      <c r="W11" s="68">
        <v>7</v>
      </c>
      <c r="X11" s="69" t="s">
        <v>57</v>
      </c>
      <c r="Y11" s="69" t="s">
        <v>77</v>
      </c>
      <c r="Z11" s="69" t="s">
        <v>97</v>
      </c>
      <c r="AB11" s="56"/>
      <c r="AC11" s="60"/>
      <c r="AD11" s="60"/>
      <c r="AE11" s="60"/>
    </row>
    <row r="12" spans="2:31" ht="21" customHeight="1" thickBot="1" x14ac:dyDescent="0.25">
      <c r="B12" s="7"/>
      <c r="C12" s="37"/>
      <c r="D12" s="40"/>
      <c r="E12" s="39"/>
      <c r="F12" s="37"/>
      <c r="G12" s="21"/>
      <c r="H12" s="63"/>
      <c r="I12" s="37"/>
      <c r="J12" s="37"/>
      <c r="K12" s="37"/>
      <c r="L12" s="14"/>
      <c r="O12" s="7"/>
      <c r="T12" s="14"/>
      <c r="W12" s="68">
        <v>8</v>
      </c>
      <c r="X12" s="69" t="s">
        <v>58</v>
      </c>
      <c r="Y12" s="69" t="s">
        <v>78</v>
      </c>
      <c r="Z12" s="69" t="s">
        <v>98</v>
      </c>
      <c r="AB12" s="56"/>
      <c r="AC12" s="60"/>
      <c r="AD12" s="60"/>
      <c r="AE12" s="60"/>
    </row>
    <row r="13" spans="2:31" ht="21" customHeight="1" x14ac:dyDescent="0.2">
      <c r="B13" s="7"/>
      <c r="C13" s="36" t="s">
        <v>16</v>
      </c>
      <c r="D13" s="22" t="s">
        <v>32</v>
      </c>
      <c r="E13" s="23">
        <v>0</v>
      </c>
      <c r="F13" s="37"/>
      <c r="G13" s="78"/>
      <c r="H13" s="81">
        <f>IF(G13&lt;0.9,0,IF(AND(G13&gt;=0.9,G13&lt;3.6),3,5.5))</f>
        <v>0</v>
      </c>
      <c r="I13" s="37"/>
      <c r="J13" s="37"/>
      <c r="K13" s="37"/>
      <c r="L13" s="14"/>
      <c r="O13" s="7"/>
      <c r="T13" s="14"/>
      <c r="W13" s="68">
        <v>9</v>
      </c>
      <c r="X13" s="69" t="s">
        <v>59</v>
      </c>
      <c r="Y13" s="69" t="s">
        <v>79</v>
      </c>
      <c r="Z13" s="69" t="s">
        <v>73</v>
      </c>
      <c r="AB13" s="56"/>
      <c r="AC13" s="60"/>
      <c r="AD13" s="60"/>
      <c r="AE13" s="60"/>
    </row>
    <row r="14" spans="2:31" ht="21" customHeight="1" x14ac:dyDescent="0.2">
      <c r="B14" s="7"/>
      <c r="C14" s="49" t="s">
        <v>17</v>
      </c>
      <c r="D14" s="52" t="s">
        <v>33</v>
      </c>
      <c r="E14" s="54">
        <v>3</v>
      </c>
      <c r="F14" s="37"/>
      <c r="G14" s="79"/>
      <c r="H14" s="82"/>
      <c r="I14" s="37"/>
      <c r="J14" s="37"/>
      <c r="K14" s="37"/>
      <c r="L14" s="14"/>
      <c r="O14" s="7"/>
      <c r="T14" s="14"/>
      <c r="W14" s="68">
        <v>10</v>
      </c>
      <c r="X14" s="69" t="s">
        <v>60</v>
      </c>
      <c r="Y14" s="69" t="s">
        <v>80</v>
      </c>
      <c r="Z14" s="69" t="s">
        <v>99</v>
      </c>
      <c r="AB14" s="56"/>
      <c r="AC14" s="60"/>
      <c r="AD14" s="60"/>
      <c r="AE14" s="60"/>
    </row>
    <row r="15" spans="2:31" ht="21" customHeight="1" thickBot="1" x14ac:dyDescent="0.25">
      <c r="B15" s="7"/>
      <c r="C15" s="25"/>
      <c r="D15" s="26" t="s">
        <v>34</v>
      </c>
      <c r="E15" s="27" t="s">
        <v>35</v>
      </c>
      <c r="F15" s="37"/>
      <c r="G15" s="80"/>
      <c r="H15" s="83"/>
      <c r="I15" s="37"/>
      <c r="J15" s="37"/>
      <c r="K15" s="37"/>
      <c r="L15" s="14"/>
      <c r="O15" s="7"/>
      <c r="T15" s="14"/>
      <c r="W15" s="68">
        <v>11</v>
      </c>
      <c r="X15" s="69" t="s">
        <v>61</v>
      </c>
      <c r="Y15" s="69" t="s">
        <v>81</v>
      </c>
      <c r="Z15" s="69" t="s">
        <v>76</v>
      </c>
      <c r="AB15" s="56"/>
      <c r="AC15" s="60"/>
      <c r="AD15" s="60"/>
      <c r="AE15" s="60"/>
    </row>
    <row r="16" spans="2:31" ht="21" customHeight="1" thickBot="1" x14ac:dyDescent="0.25">
      <c r="B16" s="7"/>
      <c r="C16" s="37"/>
      <c r="D16" s="40"/>
      <c r="E16" s="39"/>
      <c r="F16" s="37"/>
      <c r="G16" s="41"/>
      <c r="H16" s="63"/>
      <c r="I16" s="37"/>
      <c r="J16" s="37"/>
      <c r="K16" s="37"/>
      <c r="L16" s="14"/>
      <c r="O16" s="28"/>
      <c r="P16" s="29"/>
      <c r="Q16" s="29"/>
      <c r="R16" s="29"/>
      <c r="S16" s="29"/>
      <c r="T16" s="30"/>
      <c r="W16" s="68">
        <v>12</v>
      </c>
      <c r="X16" s="69" t="s">
        <v>62</v>
      </c>
      <c r="Y16" s="69" t="s">
        <v>82</v>
      </c>
      <c r="Z16" s="69" t="s">
        <v>100</v>
      </c>
      <c r="AB16" s="56"/>
      <c r="AC16" s="60"/>
      <c r="AD16" s="60"/>
      <c r="AE16" s="60"/>
    </row>
    <row r="17" spans="2:31" ht="21" customHeight="1" x14ac:dyDescent="0.2">
      <c r="B17" s="7"/>
      <c r="C17" s="36" t="s">
        <v>36</v>
      </c>
      <c r="D17" s="15" t="s">
        <v>38</v>
      </c>
      <c r="E17" s="16" t="s">
        <v>31</v>
      </c>
      <c r="F17" s="37"/>
      <c r="G17" s="78"/>
      <c r="H17" s="76">
        <f>IF(G17&lt;21,4.5,IF(AND(G17&gt;=21,G17&lt;25),2.5,0))</f>
        <v>4.5</v>
      </c>
      <c r="I17" s="37"/>
      <c r="J17" s="37"/>
      <c r="K17" s="37"/>
      <c r="L17" s="14"/>
      <c r="W17" s="68">
        <v>13</v>
      </c>
      <c r="X17" s="69" t="s">
        <v>63</v>
      </c>
      <c r="Y17" s="69" t="s">
        <v>83</v>
      </c>
      <c r="Z17" s="69" t="s">
        <v>101</v>
      </c>
      <c r="AB17" s="56"/>
      <c r="AC17" s="60"/>
      <c r="AD17" s="60"/>
      <c r="AE17" s="60"/>
    </row>
    <row r="18" spans="2:31" ht="21" customHeight="1" x14ac:dyDescent="0.2">
      <c r="B18" s="7"/>
      <c r="C18" s="45" t="s">
        <v>37</v>
      </c>
      <c r="D18" s="51" t="s">
        <v>39</v>
      </c>
      <c r="E18" s="17" t="s">
        <v>41</v>
      </c>
      <c r="F18" s="37"/>
      <c r="G18" s="79"/>
      <c r="H18" s="84"/>
      <c r="I18" s="37"/>
      <c r="J18" s="37"/>
      <c r="K18" s="37"/>
      <c r="L18" s="14"/>
      <c r="W18" s="68">
        <v>14</v>
      </c>
      <c r="X18" s="69" t="s">
        <v>64</v>
      </c>
      <c r="Y18" s="69" t="s">
        <v>84</v>
      </c>
      <c r="Z18" s="69" t="s">
        <v>102</v>
      </c>
      <c r="AB18" s="56"/>
      <c r="AC18" s="60"/>
      <c r="AD18" s="60"/>
      <c r="AE18" s="60"/>
    </row>
    <row r="19" spans="2:31" ht="21" customHeight="1" thickBot="1" x14ac:dyDescent="0.25">
      <c r="B19" s="7"/>
      <c r="C19" s="25"/>
      <c r="D19" s="19" t="s">
        <v>40</v>
      </c>
      <c r="E19" s="20">
        <v>0</v>
      </c>
      <c r="F19" s="37"/>
      <c r="G19" s="79"/>
      <c r="H19" s="77"/>
      <c r="I19" s="37"/>
      <c r="J19" s="37"/>
      <c r="K19" s="37"/>
      <c r="L19" s="14"/>
      <c r="N19" s="1" t="s">
        <v>8</v>
      </c>
      <c r="O19" s="1" t="s">
        <v>9</v>
      </c>
      <c r="W19" s="68">
        <v>15</v>
      </c>
      <c r="X19" s="69" t="s">
        <v>65</v>
      </c>
      <c r="Y19" s="69" t="s">
        <v>85</v>
      </c>
      <c r="Z19" s="69" t="s">
        <v>103</v>
      </c>
      <c r="AB19" s="56"/>
      <c r="AC19" s="60"/>
      <c r="AD19" s="60"/>
      <c r="AE19" s="60"/>
    </row>
    <row r="20" spans="2:31" ht="21" customHeight="1" thickBot="1" x14ac:dyDescent="0.25">
      <c r="B20" s="7"/>
      <c r="C20" s="37"/>
      <c r="D20" s="40"/>
      <c r="E20" s="39"/>
      <c r="F20" s="37"/>
      <c r="G20" s="21"/>
      <c r="H20" s="63"/>
      <c r="I20" s="37"/>
      <c r="J20" s="37"/>
      <c r="K20" s="37"/>
      <c r="L20" s="14"/>
      <c r="O20" s="1" t="s">
        <v>23</v>
      </c>
      <c r="W20" s="66">
        <v>16</v>
      </c>
      <c r="X20" s="69" t="s">
        <v>66</v>
      </c>
      <c r="Y20" s="69" t="s">
        <v>86</v>
      </c>
      <c r="Z20" s="69" t="s">
        <v>104</v>
      </c>
      <c r="AB20" s="47"/>
      <c r="AC20" s="60"/>
      <c r="AD20" s="60"/>
      <c r="AE20" s="60"/>
    </row>
    <row r="21" spans="2:31" ht="21" customHeight="1" thickBot="1" x14ac:dyDescent="0.25">
      <c r="B21" s="7"/>
      <c r="C21" s="36" t="s">
        <v>18</v>
      </c>
      <c r="D21" s="22" t="s">
        <v>42</v>
      </c>
      <c r="E21" s="23">
        <v>5</v>
      </c>
      <c r="F21" s="37"/>
      <c r="G21" s="85"/>
      <c r="H21" s="81">
        <f>IF(G21&lt;3,5,IF(AND(G21&gt;=3,G21&lt;4.1),3,0))</f>
        <v>5</v>
      </c>
      <c r="I21" s="37"/>
      <c r="J21" s="37"/>
      <c r="K21" s="37"/>
      <c r="L21" s="14"/>
      <c r="O21" s="1" t="s">
        <v>22</v>
      </c>
      <c r="W21" s="66">
        <v>17</v>
      </c>
      <c r="X21" s="69" t="s">
        <v>67</v>
      </c>
      <c r="Y21" s="69" t="s">
        <v>66</v>
      </c>
      <c r="Z21" s="69" t="s">
        <v>105</v>
      </c>
      <c r="AB21" s="47"/>
      <c r="AC21" s="60"/>
      <c r="AD21" s="60"/>
      <c r="AE21" s="60"/>
    </row>
    <row r="22" spans="2:31" ht="21" customHeight="1" x14ac:dyDescent="0.2">
      <c r="B22" s="7"/>
      <c r="C22" s="45" t="s">
        <v>7</v>
      </c>
      <c r="D22" s="52" t="s">
        <v>43</v>
      </c>
      <c r="E22" s="24">
        <v>3</v>
      </c>
      <c r="F22" s="37"/>
      <c r="G22" s="86"/>
      <c r="H22" s="82"/>
      <c r="I22" s="37"/>
      <c r="J22" s="70" t="s">
        <v>71</v>
      </c>
      <c r="K22" s="71"/>
      <c r="L22" s="14"/>
      <c r="N22" s="1" t="s">
        <v>10</v>
      </c>
      <c r="O22" s="1" t="s">
        <v>51</v>
      </c>
      <c r="W22" s="66">
        <v>18</v>
      </c>
      <c r="X22" s="69" t="s">
        <v>68</v>
      </c>
      <c r="Y22" s="69" t="s">
        <v>87</v>
      </c>
      <c r="Z22" s="69" t="s">
        <v>106</v>
      </c>
      <c r="AB22" s="47"/>
      <c r="AC22" s="60"/>
      <c r="AD22" s="60"/>
      <c r="AE22" s="60"/>
    </row>
    <row r="23" spans="2:31" ht="21" customHeight="1" thickBot="1" x14ac:dyDescent="0.25">
      <c r="B23" s="7"/>
      <c r="C23" s="25"/>
      <c r="D23" s="26" t="s">
        <v>44</v>
      </c>
      <c r="E23" s="27">
        <v>0</v>
      </c>
      <c r="F23" s="37"/>
      <c r="G23" s="87"/>
      <c r="H23" s="83"/>
      <c r="I23" s="37"/>
      <c r="J23" s="72"/>
      <c r="K23" s="73"/>
      <c r="L23" s="14"/>
      <c r="O23" s="1" t="s">
        <v>11</v>
      </c>
      <c r="W23" s="66">
        <v>19</v>
      </c>
      <c r="X23" s="69" t="s">
        <v>69</v>
      </c>
      <c r="Y23" s="69" t="s">
        <v>88</v>
      </c>
      <c r="Z23" s="69" t="s">
        <v>107</v>
      </c>
      <c r="AB23" s="47"/>
      <c r="AC23" s="60"/>
      <c r="AD23" s="60"/>
      <c r="AE23" s="60"/>
    </row>
    <row r="24" spans="2:31" ht="21" customHeight="1" thickBot="1" x14ac:dyDescent="0.25">
      <c r="B24" s="7"/>
      <c r="C24" s="37"/>
      <c r="D24" s="40"/>
      <c r="E24" s="39"/>
      <c r="F24" s="37"/>
      <c r="G24" s="42"/>
      <c r="H24" s="63"/>
      <c r="I24" s="37"/>
      <c r="J24" s="55" t="s">
        <v>47</v>
      </c>
      <c r="K24" s="64" t="b">
        <f>IF(AND(J6&gt;=0,J6&lt;=1),X4,IF(AND(J6&gt;1,J6&lt;=2),X5,IF(AND(J6&gt;2,J6&lt;=3),X6,IF(AND(J6&gt;3,J6&lt;=4),X7,IF(AND(J6&gt;4,J6&lt;=5),X8,IF(AND(J6&gt;5,J6&lt;=6),X9,IF(AND(J6&gt;6,J6&lt;=7),X10,IF(AND(J6&gt;7,J6&lt;=8),X11,IF(AND(J6&gt;8,J6&lt;=9),X12,IF(AND(J6&gt;9,J6&lt;=10),X13,IF(AND(J6&gt;10,J6&lt;=11),X14,IF(AND(J6&gt;11,J6&lt;=12),X15,IF(AND(J6&gt;12,J6&lt;=13),X16,IF(AND(J6&gt;13,J6&lt;=14),X17,IF(AND(J6&gt;14,J6&lt;=15),X18,IF(AND(J6&gt;15,J6&lt;=16),X19,IF(AND(J6&gt;16,J6&lt;=17),X20,IF(AND(J6&gt;17,J6&lt;=18),X21,IF(AND(J6&gt;18,J6&lt;=19),X22,IF(AND(J6&gt;19,J6&lt;=20),X23,IF(AND(J6&gt;20,J6&lt;=22),X24)))))))))))))))))))))</f>
        <v>0</v>
      </c>
      <c r="L24" s="59"/>
      <c r="M24" s="58"/>
      <c r="N24" s="58"/>
      <c r="O24" s="1" t="s">
        <v>12</v>
      </c>
      <c r="W24" s="66">
        <v>20</v>
      </c>
      <c r="X24" s="69" t="s">
        <v>70</v>
      </c>
      <c r="Y24" s="69" t="s">
        <v>89</v>
      </c>
      <c r="Z24" s="69" t="s">
        <v>108</v>
      </c>
      <c r="AB24" s="47"/>
      <c r="AC24" s="60"/>
      <c r="AD24" s="60"/>
      <c r="AE24" s="60"/>
    </row>
    <row r="25" spans="2:31" ht="21" customHeight="1" x14ac:dyDescent="0.2">
      <c r="B25" s="7"/>
      <c r="C25" s="36" t="s">
        <v>19</v>
      </c>
      <c r="D25" s="15" t="s">
        <v>20</v>
      </c>
      <c r="E25" s="16">
        <v>1</v>
      </c>
      <c r="F25" s="37"/>
      <c r="G25" s="74"/>
      <c r="H25" s="76" t="str">
        <f>IF(G25="Y",1,IF(G25="N",0,"Invalid"))</f>
        <v>Invalid</v>
      </c>
      <c r="I25" s="37"/>
      <c r="J25" s="57" t="s">
        <v>50</v>
      </c>
      <c r="K25" s="64" t="b">
        <f>IF(AND(J6&gt;=0,J6&lt;=1),Y4,IF(AND(J6&gt;1,J6&lt;=2),Y5,IF(AND(J6&gt;2,J6&lt;=3),Y6,IF(AND(J6&gt;3,J6&lt;=4),Y7,IF(AND(J6&gt;4,J6&lt;=5),Y8,IF(AND(J6&gt;5,J6&lt;=6),Y9,IF(AND(J6&gt;6,J6&lt;=7),Y10,IF(AND(J6&gt;7,J6&lt;=8),Y11,IF(AND(J6&gt;8,J6&lt;=9),Y12,IF(AND(J6&gt;9,J6&lt;=10),Y13,IF(AND(J6&gt;10,J6&lt;=11),Y14,IF(AND(J6&gt;11,J6&lt;=12),Y15,IF(AND(J6&gt;12,J6&lt;=13),Y16,IF(AND(J6&gt;13,J6&lt;=14),Y17,IF(AND(J6&gt;14,J6&lt;=15),Y18,IF(AND(J6&gt;15,J6&lt;=16),Y19,IF(AND(J6&gt;16,J6&lt;=17),Y20,IF(AND(J6&gt;17,J6&lt;=18),Y21,IF(AND(J6&gt;18,J6&lt;=19),Y22,IF(AND(J6&gt;19,J6&lt;=20),Y23,IF(AND(J6&gt;20,J6&lt;=22),Y24)))))))))))))))))))))</f>
        <v>0</v>
      </c>
      <c r="L25" s="14"/>
      <c r="W25" s="68"/>
      <c r="X25" s="69"/>
      <c r="Y25" s="69"/>
      <c r="Z25" s="69"/>
    </row>
    <row r="26" spans="2:31" ht="21" customHeight="1" thickBot="1" x14ac:dyDescent="0.25">
      <c r="B26" s="7"/>
      <c r="C26" s="25"/>
      <c r="D26" s="44" t="s">
        <v>21</v>
      </c>
      <c r="E26" s="27">
        <v>0</v>
      </c>
      <c r="F26" s="37"/>
      <c r="G26" s="75"/>
      <c r="H26" s="77"/>
      <c r="I26" s="37"/>
      <c r="J26" s="31" t="s">
        <v>49</v>
      </c>
      <c r="K26" s="65" t="b">
        <f>IF(AND(J6&gt;=0,J6&lt;=1),Z4,IF(AND(J6&gt;1,J6&lt;=2),Z5,IF(AND(J6&gt;2,J6&lt;=3),Z6,IF(AND(J6&gt;3,J6&lt;=4),Z7,IF(AND(J6&gt;4,J6&lt;=5),Z8,IF(AND(J6&gt;5,J6&lt;=6),Z9,IF(AND(J6&gt;6,J6&lt;=7),Z10,IF(AND(J6&gt;7,J6&lt;=8),Z11,IF(AND(J6&gt;8,J6&lt;=9),Z12,IF(AND(J6&gt;9,J6&lt;=10),Z13,IF(AND(J6&gt;10,J6&lt;=11),Z14,IF(AND(J6&gt;11,J6&lt;=12),Z15,IF(AND(J6&gt;12,J6&lt;=13),Z16,IF(AND(J6&gt;13,J6&lt;=14),Z17,IF(AND(J6&gt;14,J6&lt;=15),Z18,IF(AND(J6&gt;15,J6&lt;=16),Z19,IF(AND(J6&gt;16,J6&lt;=17),Z20,IF(AND(J6&gt;17,J6&lt;=18),Z21,IF(AND(J6&gt;18,J6&lt;=19),Z22,IF(AND(J6&gt;19,J6&lt;=20),Z23,IF(AND(J6&gt;20,J6&lt;=22),Z24)))))))))))))))))))))</f>
        <v>0</v>
      </c>
      <c r="L26" s="14"/>
      <c r="W26" s="68"/>
      <c r="X26" s="69"/>
      <c r="Y26" s="69"/>
      <c r="Z26" s="69"/>
    </row>
    <row r="27" spans="2:31" ht="17" thickBot="1" x14ac:dyDescent="0.25">
      <c r="B27" s="28"/>
      <c r="C27" s="29"/>
      <c r="D27" s="29"/>
      <c r="E27" s="32"/>
      <c r="F27" s="29"/>
      <c r="G27" s="43"/>
      <c r="H27" s="48"/>
      <c r="I27" s="29"/>
      <c r="J27" s="29"/>
      <c r="K27" s="29"/>
      <c r="L27" s="30"/>
      <c r="W27" s="56"/>
      <c r="X27" s="60"/>
      <c r="Y27" s="60"/>
      <c r="Z27" s="60"/>
    </row>
    <row r="28" spans="2:31" x14ac:dyDescent="0.2">
      <c r="W28" s="56"/>
      <c r="X28" s="60"/>
      <c r="Y28" s="60"/>
      <c r="Z28" s="60"/>
    </row>
    <row r="29" spans="2:31" x14ac:dyDescent="0.2">
      <c r="W29" s="56"/>
      <c r="X29" s="60"/>
      <c r="Y29" s="60"/>
      <c r="Z29" s="60"/>
    </row>
    <row r="30" spans="2:31" x14ac:dyDescent="0.2">
      <c r="W30" s="56"/>
      <c r="X30" s="60"/>
      <c r="Y30" s="60"/>
      <c r="Z30" s="60"/>
    </row>
    <row r="31" spans="2:31" x14ac:dyDescent="0.2">
      <c r="W31" s="56"/>
      <c r="X31" s="60"/>
      <c r="Y31" s="60"/>
      <c r="Z31" s="60"/>
    </row>
    <row r="32" spans="2:31" x14ac:dyDescent="0.2">
      <c r="W32" s="56"/>
      <c r="X32" s="60"/>
      <c r="Y32" s="60"/>
      <c r="Z32" s="60"/>
    </row>
    <row r="33" spans="23:26" x14ac:dyDescent="0.2">
      <c r="W33" s="56"/>
      <c r="X33" s="60"/>
      <c r="Y33" s="60"/>
      <c r="Z33" s="60"/>
    </row>
    <row r="34" spans="23:26" x14ac:dyDescent="0.2">
      <c r="W34" s="56"/>
      <c r="X34" s="60"/>
      <c r="Y34" s="60"/>
      <c r="Z34" s="60"/>
    </row>
    <row r="35" spans="23:26" x14ac:dyDescent="0.2">
      <c r="W35" s="56"/>
      <c r="X35" s="60"/>
      <c r="Y35" s="60"/>
      <c r="Z35" s="60"/>
    </row>
    <row r="36" spans="23:26" x14ac:dyDescent="0.2">
      <c r="W36" s="56"/>
      <c r="X36" s="60"/>
      <c r="Y36" s="60"/>
      <c r="Z36" s="60"/>
    </row>
    <row r="37" spans="23:26" x14ac:dyDescent="0.2">
      <c r="W37" s="56"/>
      <c r="X37" s="60"/>
      <c r="Y37" s="60"/>
      <c r="Z37" s="60"/>
    </row>
    <row r="38" spans="23:26" x14ac:dyDescent="0.2">
      <c r="W38" s="56"/>
      <c r="X38" s="60"/>
      <c r="Y38" s="60"/>
      <c r="Z38" s="60"/>
    </row>
    <row r="39" spans="23:26" x14ac:dyDescent="0.2">
      <c r="W39" s="56"/>
      <c r="X39" s="60"/>
      <c r="Y39" s="60"/>
      <c r="Z39" s="60"/>
    </row>
    <row r="40" spans="23:26" x14ac:dyDescent="0.2">
      <c r="W40" s="56"/>
      <c r="X40" s="60"/>
      <c r="Y40" s="60"/>
      <c r="Z40" s="60"/>
    </row>
  </sheetData>
  <sheetProtection algorithmName="SHA-512" hashValue="WKlHYZ9PjZRfabnSe+xusPq6esrWPQ9SxAzW9corwo3786p8oc7GPE3qWVNOrY6o/N2fIIkMWwEDHUTAY6xbxQ==" saltValue="MXkXKPfOgrln2Ry2STooRw==" spinCount="100000" sheet="1" objects="1" scenarios="1"/>
  <mergeCells count="16">
    <mergeCell ref="G6:G7"/>
    <mergeCell ref="H6:H7"/>
    <mergeCell ref="J8:K8"/>
    <mergeCell ref="G9:G11"/>
    <mergeCell ref="H9:H11"/>
    <mergeCell ref="J9:K9"/>
    <mergeCell ref="J10:K10"/>
    <mergeCell ref="J22:K23"/>
    <mergeCell ref="G25:G26"/>
    <mergeCell ref="H25:H26"/>
    <mergeCell ref="G13:G15"/>
    <mergeCell ref="H13:H15"/>
    <mergeCell ref="G17:G19"/>
    <mergeCell ref="H17:H19"/>
    <mergeCell ref="G21:G23"/>
    <mergeCell ref="H21:H23"/>
  </mergeCells>
  <conditionalFormatting sqref="K6:K7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25400</xdr:colOff>
                    <xdr:row>12</xdr:row>
                    <xdr:rowOff>177800</xdr:rowOff>
                  </from>
                  <to>
                    <xdr:col>10</xdr:col>
                    <xdr:colOff>927100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2020-05-26T12:12:04Z</dcterms:created>
  <dcterms:modified xsi:type="dcterms:W3CDTF">2021-03-08T09:30:18Z</dcterms:modified>
</cp:coreProperties>
</file>